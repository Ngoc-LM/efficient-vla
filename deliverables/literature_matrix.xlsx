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trix" sheetId="1" state="visible" r:id="rId3"/>
    <sheet name="Diffusion vs Flow" sheetId="2" state="visible" r:id="rId4"/>
    <sheet name="This study (T4)" sheetId="3" state="visible" r:id="rId5"/>
    <sheet name="Notes"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<sst xmlns="http://schemas.openxmlformats.org/spreadsheetml/2006/main" count="302" uniqueCount="274">
  <si>
    <t xml:space="preserve">ID</t>
  </si>
  <si>
    <t xml:space="preserve">Paper</t>
  </si>
  <si>
    <t xml:space="preserve">First author</t>
  </si>
  <si>
    <t xml:space="preserve">Year</t>
  </si>
  <si>
    <t xml:space="preserve">Venue / arXiv</t>
  </si>
  <si>
    <t xml:space="preserve">Relevance to this study</t>
  </si>
  <si>
    <t xml:space="preserve">Model size &amp; backbone</t>
  </si>
  <si>
    <t xml:space="preserve">Action generation</t>
  </si>
  <si>
    <t xml:space="preserve">Efficiency lever (what is reduced and how)</t>
  </si>
  <si>
    <t xml:space="preserve">Main target</t>
  </si>
  <si>
    <t xml:space="preserve">Reported efficiency gain (hardware)</t>
  </si>
  <si>
    <t xml:space="preserve">Benchmark &amp; success rate</t>
  </si>
  <si>
    <t xml:space="preserve">Assumptions</t>
  </si>
  <si>
    <t xml:space="preserve">Trade-offs</t>
  </si>
  <si>
    <t xml:space="preserve">Open questions</t>
  </si>
  <si>
    <t xml:space="preserve">Training-free</t>
  </si>
  <si>
    <t xml:space="preserve">Source (read)</t>
  </si>
  <si>
    <t xml:space="preserve">SmolVLA</t>
  </si>
  <si>
    <t xml:space="preserve">SmolVLA: A vision-language-action model for affordable and efficient robotics</t>
  </si>
  <si>
    <t xml:space="preserve">Mustafa Shukor</t>
  </si>
  <si>
    <t xml:space="preserve">arXiv (2506.01844)</t>
  </si>
  <si>
    <t xml:space="preserve">The model studied: its LIBERO checkpoint is reproduced and optimised here.</t>
  </si>
  <si>
    <t xml:space="preserve">0.45B total (Table 5; also 0.24B and 2.25B variants). VLM = SmolVLM-2 (SigLIP vision encoder + SmolLM2 decoder); only first N=L/2 VLM layers used (last L-N skipped); 64 visual tokens per frame (global image, no tiling). Action expert hidden size 0.75×d of VLM (expert param count UNVERIFIED).</t>
  </si>
  <si>
    <t xml:space="preserve">flow matching (conditional flow-matching transformer, interleaved cross- and causal self-attention); 10 flow steps at inference; chunk size n=50 by default (ablation: n=10 gave higher LIBERO avg 84.0 vs 80.3 for n=50)</t>
  </si>
  <si>
    <t xml:space="preserve">Model size (small VLM, layer skipping to L/2, 64 visual tokens/frame, smaller expert) + asynchronous inference that decouples chunk prediction from execution (RobotClient/PolicyServer, queue threshold g triggers new chunk requests early); trained only on ~23k community episodes (481 datasets, 22.9K episodes, 10.6M frames).</t>
  </si>
  <si>
    <t xml:space="preserve">Model size, memory, latency (async execution)</t>
  </si>
  <si>
    <t xml:space="preserve">Async vs sync on SO-100: avg completion time 13.75 s -&gt; 9.70 s (~30% faster), 19 vs 9 cubes in fixed-time episode, success 73.3% vs 78.3%. Vs pi0: 'around 40% faster to train and consumes 6× less memory'. Runs on consumer-grade hardware (GPUs or even CPUs). Total project compute ~30k GPU hours; pretraining 200k steps, batch 256, 4 GPUs.</t>
  </si>
  <si>
    <t xml:space="preserve">LIBERO (S/O/G/L/avg): 0.45B 90/96/92/71/87.3 (no robotics pretraining); 2.25B avg 88.75; 0.24B avg 82.75. Baselines in same table: pi0 3.3B (robot-pretrained) 86.0, OpenVLA 7B 76.5, Octo 0.09B 75.1, Diffusion Policy 72.4. Meta-World avg: 0.45B 57.3 (pi0 3.5B 47.9-50.5, TinyVLA 31.6). Real SO-100 avg 78.3% (pi0 61.7%).</t>
  </si>
  <si>
    <t xml:space="preserve">Chunked execution is acceptable; async inference assumes a remote PolicyServer and that observations arriving mid-execution can be used to recompute the remaining chunk; pretraining data from a single low-cost robot type (SO100) community datasets.</t>
  </si>
  <si>
    <t xml:space="preserve">Async reduces wall-clock completion time but success dropped 78.3% -&gt; 73.3% in the SO-100 async study; sim results without robotics pretraining; LIBERO-Long (71) remains the weakest suite for 0.45B.</t>
  </si>
  <si>
    <t xml:space="preserve">Authors: pretraining from a single robot type (SO100); ~23k trajectories much smaller than typical VLA datasets. (reviewer inference) How async chunk switching interacts with chunk discontinuities / stale actions (later addressed by A2C2, RTC); per-step latency on embedded CPU not reported in the parts read.</t>
  </si>
  <si>
    <t xml:space="preserve">no</t>
  </si>
  <si>
    <t xml:space="preserve">https://arxiv.org/abs/2506.01844</t>
  </si>
  <si>
    <t xml:space="preserve">pi0</t>
  </si>
  <si>
    <t xml:space="preserve">π0: A Vision-Language-Action Flow Model for General Robot Control</t>
  </si>
  <si>
    <t xml:space="preserve">Kevin Black</t>
  </si>
  <si>
    <t xml:space="preserve">arXiv (RSS 2025 per external listings; not stated on arXiv page read — UNVERIFIED) (2410.24164)</t>
  </si>
  <si>
    <t xml:space="preserve">Same design as SmolVLA (VLM prefix + flow-matching action expert, 10 Euler steps on a cached prefix).</t>
  </si>
  <si>
    <t xml:space="preserve">3.3B total: PaliGemma 3B VLM + ~300M action expert (width=1024, mlp dim=4096, initialized from scratch)</t>
  </si>
  <si>
    <t xml:space="preserve">flow matching; 10 forward Euler integration steps (δ=0.1) from noise at τ=0; action chunk H=50; up to 50 Hz control</t>
  </si>
  <si>
    <t xml:space="preserve">Not an efficiency paper; uses a separate smaller action expert and chunked continuous actions (KV of observation prefix reused across 10 flow steps) to reach high-frequency control. Re-plans every 16 actions (20 Hz robots, every 0.8 s) or 25 actions (50 Hz robots, every 0.5 s).</t>
  </si>
  <si>
    <t xml:space="preserve">Latency (prefix KV reuse, chunking)</t>
  </si>
  <si>
    <t xml:space="preserve">Inference on NVIDIA GeForce RTX 4090 (Appendix D, Table I): image encoders 14 ms, observation forward pass 32 ms, 10× action forward pass (flow) 27 ms, total on-board 73 ms; off-board +13 ms network = 86 ms.</t>
  </si>
  <si>
    <t xml:space="preserve">No LIBERO in original paper (headline results are bar charts on real tasks: shirt folding, bussing, box building, etc.; full pre-trained pi0 'more than 50% of the maximum score across all' complex multi-stage tasks). Third-party: SmolVLA paper reports pi0 3.3B LIBERO avg 86.0.</t>
  </si>
  <si>
    <t xml:space="preserve">Large pretraining mixture (&gt;10,000 h; 903M timesteps own data, 7 robot configurations, 68 tasks; OXE/Bridge/DROID 9.1%); timestep sampling Beta((s−τ)/s;1.5,1) with s=0.999 emphasizes noisy timesteps; chunk executed open-loop between inference calls.</t>
  </si>
  <si>
    <t xml:space="preserve">3.3B params and 73 ms/chunk on an RTX 4090 — needs a desktop GPU or off-board inference; open-loop execution of 16–25 actions between re-plans.</t>
  </si>
  <si>
    <t xml:space="preserve">Authors: not all tasks work reliably; unclear how much and what kind of data is needed. (reviewer inference) Latency vs. reactivity when execution horizon shrinks; whether 10 Euler steps can be reduced further without loss.</t>
  </si>
  <si>
    <t xml:space="preserve">https://arxiv.org/abs/2410.24164</t>
  </si>
  <si>
    <t xml:space="preserve">DiffusionPolicy</t>
  </si>
  <si>
    <t xml:space="preserve">Diffusion Policy: Visuomotor Policy Learning via Action Diffusion</t>
  </si>
  <si>
    <t xml:space="preserve">Cheng Chi</t>
  </si>
  <si>
    <t xml:space="preserve">RSS 2023 (conference version); arXiv PDF read is the extended version (journal not named on the page) (2303.04137)</t>
  </si>
  <si>
    <t xml:space="preserve">Reference diffusion action head for the diffusion vs flow-matching comparison.</t>
  </si>
  <si>
    <t xml:space="preserve">Not a VLA (no language model). ResNet-18 vision encoder (~22M, trained end-to-end); CNN-based diffusion net ~22M (45M Transport) or time-series diffusion transformer ~9M (sim) / 80M (Kitchen, real Push-T)</t>
  </si>
  <si>
    <t xml:space="preserve">diffusion (DDPM, epsilon/noise-prediction MSE objective conditioned on observations); sim: 100 denoising iterations for training and inference; real: DDIM with 100 training / 10 inference iterations (Appendix A.4 says 16 — inconsistent); To=2, Tp=16, Ta=8 (receding-horizon control)</t>
  </si>
  <si>
    <t xml:space="preserve">Not an efficiency paper; DDIM reduces inference iterations (100 -&gt; 10) and action-sequence prediction with receding horizon amortizes inference over Ta=8 executed actions</t>
  </si>
  <si>
    <t xml:space="preserve">N/A (generative action-head reference)</t>
  </si>
  <si>
    <t xml:space="preserve">'0.1s inference latency on a Nvidia 3080 GPU' (DDIM, 10 inference iterations, real world)</t>
  </si>
  <si>
    <t xml:space="preserve">Average improvement of 46.9% over prior methods (abstract of version read: 15 tasks from 4 benchmarks; Table 3: 12 tasks, 8 sim + 4 real). Third-party: LIBERO avg 72.4 (scratch) in OpenVLA-OFT/SmolVLA tables; Meta-World avg 10.5 in TinyVLA/SmolVLA tables.</t>
  </si>
  <si>
    <t xml:space="preserve">Sufficient task-specific demonstrations (behavior cloning); actions executed open-loop for Ta steps between replans; multimodal action distributions benefit from diffusion.</t>
  </si>
  <si>
    <t xml:space="preserve">Authors: higher compute and inference latency than simpler methods such as LSTM-GMM; action-sequence prediction may not suffice for high-rate control tasks.</t>
  </si>
  <si>
    <t xml:space="preserve">Authors: inherits behavior-cloning limits (poor with inadequate demos). (reviewer inference) Few-step / consistency distillation for faster sampling; scaling with language conditioning (addressed by later VLAs).</t>
  </si>
  <si>
    <t xml:space="preserve">https://arxiv.org/abs/2303.04137</t>
  </si>
  <si>
    <t xml:space="preserve">OpenVLA-OFT</t>
  </si>
  <si>
    <t xml:space="preserve">Fine-Tuning Vision-Language-Action Models: Optimizing Speed and Success</t>
  </si>
  <si>
    <t xml:space="preserve">Moo Jin Kim</t>
  </si>
  <si>
    <t xml:space="preserve">arXiv (RSS 2025 per external listings; not stated in PDF v2 read — UNVERIFIED) (2502.19645)</t>
  </si>
  <si>
    <t xml:space="preserve">Reports speed and success together; chunked parallel decoding is the 'execute more per call' idea.</t>
  </si>
  <si>
    <t xml:space="preserve">OpenVLA 7B (Prismatic VLM: DINOv2+SigLIP + Llama 2 7B), fine-tuned with OFT recipe; OFT+ adds FiLM</t>
  </si>
  <si>
    <t xml:space="preserve">parallel decoding + regression: all chunk actions decoded in one forward pass (bidirectional, empty action embeddings), continuous actions via MLP head trained with L1 loss; chunk K=8 (LIBERO), K=25 (ALOHA); single forward pass</t>
  </si>
  <si>
    <t xml:space="preserve">Replace autoregressive per-token decoding with parallel decoding + action chunking + continuous L1 regression (fine-tuning recipe, architecture unchanged backbone)</t>
  </si>
  <si>
    <t xml:space="preserve">Latency / throughput</t>
  </si>
  <si>
    <t xml:space="preserve">26× action-generation throughput (abstract). Table II on NVIDIA A100, 7-D actions: OpenVLA 4.2 Hz / 0.2396 s -&gt; +PD 15.9 Hz / 0.0629 s -&gt; +PD&amp;AC 108.8 Hz / 0.0735 s -&gt; OFT (Cont-L1) 109.7 Hz / 0.0729 s -&gt; +wrist img &amp; proprio 71.4 Hz / 0.1120 s. ALOHA (A100): OFT+ 77.9 Hz, 0.321 s latency (vs OpenVLA 1.8 Hz, 0.543 s; pi0 291.6 Hz, 0.086 s).</t>
  </si>
  <si>
    <t xml:space="preserve">LIBERO S/O/G/L/avg: OpenVLA-OFT (wrist+state) 97.6/98.4/97.9/94.5/97.1 (vs OpenVLA FT 76.5; pi0 94.2; pi0-FAST 85.5; third-person only OFT 95.3). ALOHA (25 Hz): OFT+ outperforms pi0, RDT-1B, ACT, DP by up to 15% abs avg success.</t>
  </si>
  <si>
    <t xml:space="preserve">Unimodal-enough demonstrations so that L1 regression suffices; task-specific fine-tuning; A100-class GPU for reported throughput.</t>
  </si>
  <si>
    <t xml:space="preserve">Extra inputs (wrist image, proprio) cut throughput 109.7 -&gt; 71.4 Hz; ALOHA latency (0.321 s) still higher than pi0 (0.086 s) despite higher success; FiLM needed for language grounding on ALOHA.</t>
  </si>
  <si>
    <t xml:space="preserve">Authors: L1 regression may struggle with truly multimodal action distributions; unclear whether OFT benefits extend to pretraining; unclear why language grounding fails on ALOHA but not LIBERO. (reviewer inference) Behaviour on edge GPUs not reported.</t>
  </si>
  <si>
    <t xml:space="preserve">https://arxiv.org/abs/2502.19645</t>
  </si>
  <si>
    <t xml:space="preserve">VLA-Cache</t>
  </si>
  <si>
    <t xml:space="preserve">VLA-Cache: Efficient Vision-Language-Action Manipulation via Adaptive Token Caching</t>
  </si>
  <si>
    <t xml:space="preserve">Siyu Xu</t>
  </si>
  <si>
    <t xml:space="preserve">NeurIPS 2025 (per PDF header) (2502.02175)</t>
  </si>
  <si>
    <t xml:space="preserve">Reuses visual tokens across frames: the idea behind the stale-image variant (H1).</t>
  </si>
  <si>
    <t xml:space="preserve">Applied to OpenVLA (7B), OpenVLA-OFT, CogACT (all Llama-2-based decoders)</t>
  </si>
  <si>
    <t xml:space="preserve">inherits base model (OpenVLA autoregressive tokens; OpenVLA-OFT parallel decoding+regression; CogACT diffusion head)</t>
  </si>
  <si>
    <t xml:space="preserve">Reuse KV of visually static tokens across consecutive timesteps: cosine-similarity patch matching vs previous frame + top-k; exclude task-relevant tokens via text-to-vision attention; layer-adaptive reuse ratio from cumulative attention-entropy reduction</t>
  </si>
  <si>
    <t xml:space="preserve">Compute, latency</t>
  </si>
  <si>
    <t xml:space="preserve">Abstract: 'up to 1.7× speedup in CUDA latency' and '15% increase in control frequency, with negligible loss on task success rate'. RTX 4090, BF16. LIBERO OpenVLA: FLOPs 1.864T-&gt;1.355T, latency 51.91-&gt;31.83 ms, 4.23-&gt;4.59 Hz. OpenVLA-OFT: 4.013T-&gt;3.097T, 79.05-&gt;62.59 ms, 65.10-&gt;78.98 Hz. SIMPLER CogACT (VM): 54.29-&gt;39.63 ms, 12.42-&gt;14.66 Hz. Real Kinova Jaco2 (OpenVLA): 64.16-&gt;51.85 ms.</t>
  </si>
  <si>
    <t xml:space="preserve">LIBERO avg: OpenVLA 75.0-&gt;74.7; OpenVLA-OFT 96.8-&gt;97.4. SIMPLER CogACT: VM 74.8-&gt;74.4, VA 61.3-&gt;62.3. Real robot avg 82.1-&gt;84.6.</t>
  </si>
  <si>
    <t xml:space="preserve">Consecutive frames share many static background patches; base decoder exposes per-layer attention/KV cache (Llama-2 style).</t>
  </si>
  <si>
    <t xml:space="preserve">Per-table gains are smaller than headline (OpenVLA latency 1.63×, control freq +8.5%; OFT 1.26×, +21%) — end-to-end Hz gain much smaller than CUDA-latency gain for OpenVLA; per-task drops possible (PickPot 95-&gt;90%).</t>
  </si>
  <si>
    <t xml:space="preserve">Authors: dynamic scenes (camera/background/object motion) increase non-reusable tokens and reduce gains; only three Llama-2-based VLAs tested. (reviewer inference) Interaction with action chunking (fewer inference calls) and with flow/diffusion experts.</t>
  </si>
  <si>
    <t xml:space="preserve">yes</t>
  </si>
  <si>
    <t xml:space="preserve">https://arxiv.org/abs/2502.02175</t>
  </si>
  <si>
    <t xml:space="preserve">EfficientVLA</t>
  </si>
  <si>
    <t xml:space="preserve">EfficientVLA: Training-Free Acceleration and Compression for Vision-Language-Action Models</t>
  </si>
  <si>
    <t xml:space="preserve">Yantai Yang</t>
  </si>
  <si>
    <t xml:space="preserve">arXiv (v1 'Preprint. Under review.'; later venue UNVERIFIED) (2506.10100)</t>
  </si>
  <si>
    <t xml:space="preserve">Training-free acceleration with a small success loss: the same setting as this study.</t>
  </si>
  <si>
    <t xml:space="preserve">Applied to CogACT 7.63B (DINOv2+SigLIP vision, Llama2-7B language module, Diffusion Transformer action head); pruned to 4.86B (L=22) or 5.87B (L=28)</t>
  </si>
  <si>
    <t xml:space="preserve">diffusion (inherited CogACT DiT action head); action-head attention/MLP outputs cached and recomputed every 5 denoising steps</t>
  </si>
  <si>
    <t xml:space="preserve">Training-free, three-part: (1) non-contiguous language-layer pruning by 1 − cos(input,output) importance + 25% MLP sparsity (PruneNet); (2) instruction-guided visual token selection (K_key=4 top-relevance + relevance/diversity fill; T=56 or 112 tokens kept); (3) temporal caching of diffusion-head intermediate features (interval 5)</t>
  </si>
  <si>
    <t xml:space="preserve">Compute, latency, memory</t>
  </si>
  <si>
    <t xml:space="preserve">Abstract: 1.93× inference speedup, FLOPs reduced to 28.9%, 0.6% success drop on SIMPLER. Table: L=22,T=56: 28.9% FLOPs, 1.93×, 4.86B params; L=28,T=112: 45.1% FLOPs, 1.59×, 5.87B. Inference time per step 0.2342 s -&gt; 0.1213 s (Table 3). NVIDIA A40 GPUs.</t>
  </si>
  <si>
    <t xml:space="preserve">SIMPLER Visual Matching avg: CogACT 74.8% -&gt; 74.2% (L=22,T=56) / 76.4% (L=28,T=112); Variant Aggregation 61.3% -&gt; 61.2%.</t>
  </si>
  <si>
    <t xml:space="preserve">Redundancy exists in deep language layers, visual tokens and across denoising steps; access to attention maps for instruction-guided selection; diffusion head features change slowly between steps.</t>
  </si>
  <si>
    <t xml:space="preserve">Training-free so compression ceiling below training-aware methods; fixed cache interval trades acceleration vs action fidelity; per-task SR varies (e.g., Drawer Apple 53.8%).</t>
  </si>
  <si>
    <t xml:space="preserve">Authors: adaptive caching as future work; only CogACT evaluated (few open diffusion-based VLAs). (reviewer inference) No LIBERO or real-robot evaluation in parts read; generality to flow-matching experts (pi0/SmolVLA).</t>
  </si>
  <si>
    <t xml:space="preserve">https://arxiv.org/abs/2506.10100</t>
  </si>
  <si>
    <t xml:space="preserve">RTC</t>
  </si>
  <si>
    <t xml:space="preserve">Real-Time Execution of Action Chunking Flow Policies</t>
  </si>
  <si>
    <t xml:space="preserve">NeurIPS 2025 (per PDF header) (2506.07339)</t>
  </si>
  <si>
    <t xml:space="preserve">Asynchronous execution of chunked flow policies: the alternative to re-planning at every step (H1).</t>
  </si>
  <si>
    <t xml:space="preserve">Applied to pi0.5 (real world) and flow policies on Kinetix (sim); no new model</t>
  </si>
  <si>
    <t xml:space="preserve">flow matching (base policy) with inference-time guided inpainting; n=5 denoising steps (sim and real); real: H=50, execution horizon s=25, 20 ms control period; sim: H=8, delays 0–4 steps</t>
  </si>
  <si>
    <t xml:space="preserve">Asynchronous execution without discontinuities: generate next chunk while current executes, freeze actions guaranteed to execute during inference delay, inpaint remaining actions via guidance with exponentially decaying soft mask; guidance weight clipped at β=5</t>
  </si>
  <si>
    <t xml:space="preserve">Latency hiding (asynchronous execution)</t>
  </si>
  <si>
    <t xml:space="preserve">Abstract: remains effective with inference delays &gt;300 ms (&gt;30% of prediction horizon). Real world (6 bimanual tasks, 480 episodes, injected +0/+100/+200 ms ≈ d 6/11/16): best average throughput at every delay, no degradation with delay (sync degrades ~linearly); same motion reported ~20% faster than synchronous (as extracted). Latency on RTX 4090 bf16: RTC 97 ms vs vanilla pi0.5 76 ms (per-denoising-step 14 -&gt; 35 ms due to backprop through each step); BID (N=16) 223 ms.</t>
  </si>
  <si>
    <t xml:space="preserve">Kinetix (12 dynamic tasks): RTC &gt; BID, naive async, temporal ensembling across delays (exact numbers in figures; not extracted). Real-world throughput gains significant at +100 and +200 ms.</t>
  </si>
  <si>
    <t xml:space="preserve">Base policy is diffusion/flow-based; inference delay d is known/estimated and smaller than the execution horizon; frozen prefix actions will actually be executed.</t>
  </si>
  <si>
    <t xml:space="preserve">Training-free but adds ~21 ms (76 -&gt; 97 ms) per chunk from vector-Jacobian guidance; only for diffusion/flow policies; temporal ensembling fails (averages of valid actions not valid).</t>
  </si>
  <si>
    <t xml:space="preserve">Authors: significant compute overhead; diffusion/flow only; not tested in more dynamic settings (e.g., legged locomotion). (reviewer inference) Interaction with step-reduction/distillation; A2C2 reports being orthogonal/complementary.</t>
  </si>
  <si>
    <t xml:space="preserve">https://arxiv.org/abs/2506.07339</t>
  </si>
  <si>
    <t xml:space="preserve">RealtimeVLA</t>
  </si>
  <si>
    <t xml:space="preserve">Running VLAs at Real-time Speed</t>
  </si>
  <si>
    <t xml:space="preserve">Yunchao Ma</t>
  </si>
  <si>
    <t xml:space="preserve">arXiv (2510.26742)</t>
  </si>
  <si>
    <t xml:space="preserve">CUDA graphs and kernel-level work for pi0: the graph lever of H2.</t>
  </si>
  <si>
    <t xml:space="preserve">pi0-level VLA: PaliGemma backbone (SigLIP ~400M + Gemma 2.6B, ~3B) + ~300M action expert.</t>
  </si>
  <si>
    <t xml:space="preserve">flow matching, 10 action-expert denoising steps (pi0 recipe).</t>
  </si>
  <si>
    <t xml:space="preserve">Inference-only systems optimisation: CUDA graphs to remove CPU launch overhead (~2x), folding RMSNorm affine and the action-time embedding into adjacent linear layers, fused QKV/RoPE, fused gated linear layers and scalar ops, Triton GEMM tile tuning, dropping the last LLM layer (17 of 18); plus a streaming inference framework.</t>
  </si>
  <si>
    <t xml:space="preserve">Latency (CPU launch overhead, kernel fusion)</t>
  </si>
  <si>
    <t xml:space="preserve">RTX 4090, bf16, 10 steps (Table 1): 2 views 106.5 ms (naive torch) / 53.7 ms (openpi JAX) -&gt; 27.3 ms; 1 view 20.0 ms; 3 views 36.8 ms; 30 Hz frame rate.</t>
  </si>
  <si>
    <t xml:space="preserve">Real-world falling-pen catching: 10/10 consecutive successes (policy trained with openpi on 600 episodes). No standard benchmark reported.</t>
  </si>
  <si>
    <t xml:space="preserve">Model weights fixed; a single consumer GPU with native bf16; per-shape kernel tuning for one model and input size.</t>
  </si>
  <si>
    <t xml:space="preserve">Large engineering effort (hand-written/fused kernels) tied to one architecture and GPU; dropping a layer changes the model; no closed-loop success comparison against the unoptimised policy.</t>
  </si>
  <si>
    <t xml:space="preserve">(reviewer inference) Whether each fused/approximated step leaves closed-loop success unchanged on a standard benchmark; portability to GPUs without bf16 tensor cores.</t>
  </si>
  <si>
    <t xml:space="preserve">yes (speed-ups); the task policy itself was trained</t>
  </si>
  <si>
    <t xml:space="preserve">https://arxiv.org/abs/2510.26742</t>
  </si>
  <si>
    <t xml:space="preserve">Coda</t>
  </si>
  <si>
    <t xml:space="preserve">Fewer Steps, Better Actions: Rethinking Flow-Matching Inference for VLA Policies</t>
  </si>
  <si>
    <t xml:space="preserve">Zhipeng Tang</t>
  </si>
  <si>
    <t xml:space="preserve">arXiv (2609.21216)</t>
  </si>
  <si>
    <t xml:space="preserve">Fewer flow steps for pi0.5 (3 steps hold, 1 step drops): the step lever of H2 and its contrast.</t>
  </si>
  <si>
    <t xml:space="preserve">Frozen pi0.5 (fine-tuned) and frozen official SmolVLA; corrector parameter count UNVERIFIED (not reported).</t>
  </si>
  <si>
    <t xml:space="preserve">flow matching with few Euler steps + a learned endpoint correction (lightweight Transformer reading the candidate action, the source noise and the shared prefix cache).</t>
  </si>
  <si>
    <t xml:space="preserve">Spend part of the integration budget on a learned residual corrector instead of more flow steps.</t>
  </si>
  <si>
    <t xml:space="preserve">Latency (fewer flow steps + learned correction)</t>
  </si>
  <si>
    <t xml:space="preserve">pi0.5-FT on A100: 10 steps 233.0 ms -&gt; Coda 2 steps 109.9 ms (2.12x); SmolVLA: 233.5 -&gt; 118.1 ms (1.98x).</t>
  </si>
  <si>
    <t xml:space="preserve">RoboTwin Easy (50 tasks), pi0.5-FT naive steps 1/2/3/5/10: 59.76/67.40/71.28/71.64/71.52%; Coda 2 steps 71.88%. SmolVLA (10 tasks) naive 1/2/5/10: 35.0/60.8/60.8/64.4%; Coda 2 steps 69.4%.</t>
  </si>
  <si>
    <t xml:space="preserve">Demonstrations available to train the corrector (SmolVLA: 18,716 steps, batch 256); base policy frozen.</t>
  </si>
  <si>
    <t xml:space="preserve">Requires training and a second network; naive step reduction alone is nearly free for pi0.5 down to 3 steps but collapses at 1 step (and for SmolVLA at 1 step).</t>
  </si>
  <si>
    <t xml:space="preserve">(reviewer inference) Results are on RoboTwin; whether the same step curve holds on LIBERO and for per-step re-planning.</t>
  </si>
  <si>
    <t xml:space="preserve">no (corrector only)</t>
  </si>
  <si>
    <t xml:space="preserve">https://arxiv.org/abs/2609.21216</t>
  </si>
  <si>
    <t xml:space="preserve">Islam-ONNX</t>
  </si>
  <si>
    <t xml:space="preserve">When Faster VLA Deployment Changes Closed-Loop Behavior: Task Success-Latency Analysis of SmolVLA Across PyTorch and ONNX Variants</t>
  </si>
  <si>
    <t xml:space="preserve">Rafiqul Islam</t>
  </si>
  <si>
    <t xml:space="preserve">arXiv (2609.14146)</t>
  </si>
  <si>
    <t xml:space="preserve">Faster deployment of this very checkpoint lowered success (70% to 41%): motivates paired tests.</t>
  </si>
  <si>
    <t xml:space="preserve">Same checkpoint as this study: HuggingFaceVLA/smolvla_libero, LeRobot 0.6.1 (MuJoCo 3.3.2).</t>
  </si>
  <si>
    <t xml:space="preserve">flow matching, 10 flow steps (released configuration).</t>
  </si>
  <si>
    <t xml:space="preserve">Runtime change: PyTorch+AMP vs ONNX Runtime (CUDA EP) with 'requested' FP16/INT8 exports; static language width 16/24/32 tokens.</t>
  </si>
  <si>
    <t xml:space="preserve">Latency (runtime/export), closed-loop side effects</t>
  </si>
  <si>
    <t xml:space="preserve">RTX 2060 6 GB, batch 1: PyTorch+AMP p50 903 ms / p99 1181 ms; ONNX p50 537.5-549.2 ms (p99 532-601 ms) - about 2x lower latency.</t>
  </si>
  <si>
    <t xml:space="preserve">LIBERO Spatial / Object, 100 episodes each: PyTorch+AMP 70.0 / 88.0; ONNX width 16 41.0 / 89.0; width 24 75.0 / 90.0; width 32 71.0 / 87.0. Paired 300 episodes, Spatial: 56.7 vs 33.0 (McNemar p = 2.2e-9).</t>
  </si>
  <si>
    <t xml:space="preserve">One GPU, one checkpoint, one seed; the exported graph has a static language width (width 16 truncates 5 of 10 Spatial instructions).</t>
  </si>
  <si>
    <t xml:space="preserve">Faster runtime but a silent behaviour change: truncated instructions cut Spatial success by ~29 pp; the 'INT8' artifact is a byte-identical FP32 graph, i.e. not real INT8.</t>
  </si>
  <si>
    <t xml:space="preserve">Authors: factors other than width (graph conversion, AMP vs FP32, kernels, true INT8, TensorRT) not isolated; no equivalence test ('a non-significant two-proportion test is not an equivalence result').</t>
  </si>
  <si>
    <t xml:space="preserve">https://arxiv.org/abs/2609.14146</t>
  </si>
  <si>
    <t xml:space="preserve">Model</t>
  </si>
  <si>
    <t xml:space="preserve">Generative family</t>
  </si>
  <si>
    <t xml:space="preserve">Network predicts</t>
  </si>
  <si>
    <t xml:space="preserve">Training objective</t>
  </si>
  <si>
    <t xml:space="preserve">Time / noise-level sampling</t>
  </si>
  <si>
    <t xml:space="preserve">Inference sampler &amp; steps</t>
  </si>
  <si>
    <t xml:space="preserve">What each step re-runs</t>
  </si>
  <si>
    <t xml:space="preserve">Chunk / executed actions</t>
  </si>
  <si>
    <t xml:space="preserve">Reported latency</t>
  </si>
  <si>
    <t xml:space="preserve">Source</t>
  </si>
  <si>
    <t xml:space="preserve">Diffusion Policy</t>
  </si>
  <si>
    <t xml:space="preserve">Diffusion (DDPM)</t>
  </si>
  <si>
    <t xml:space="preserve">Noise eps</t>
  </si>
  <si>
    <t xml:space="preserve">MSE(eps, eps_theta(O, A^0 + eps_k, k))</t>
  </si>
  <si>
    <t xml:space="preserve">Uniform over 100 DDPM steps</t>
  </si>
  <si>
    <t xml:space="preserve">Sim: 100 DDPM steps; real: DDIM 10 steps (App. A.4 says 16)</t>
  </si>
  <si>
    <t xml:space="preserve">Full denoising network (~9-80M)</t>
  </si>
  <si>
    <t xml:space="preserve">Tp=16 predicted, Ta=8 executed</t>
  </si>
  <si>
    <t xml:space="preserve">0.1 s on RTX 3080 (DDIM 10)</t>
  </si>
  <si>
    <t xml:space="preserve">arxiv.org/abs/2303.04137</t>
  </si>
  <si>
    <t xml:space="preserve">CogACT</t>
  </si>
  <si>
    <t xml:space="preserve">Diffusion (DiT action module)</t>
  </si>
  <si>
    <t xml:space="preserve">MSE on noise; 8 diffusion steps sampled per training sample</t>
  </si>
  <si>
    <t xml:space="preserve">Diffusion timestep added to cognition feature (sinusoidal)</t>
  </si>
  <si>
    <t xml:space="preserve">DDIM 10 steps, classifier-free guidance 1.5</t>
  </si>
  <si>
    <t xml:space="preserve">DiT only (13-308M); VLM runs once to produce the cognition feature</t>
  </si>
  <si>
    <t xml:space="preserve">16 (current + 15 future), adaptive ensemble</t>
  </si>
  <si>
    <t xml:space="preserve">Not reported (third party: 54 ms RTX 4090; 0.234 s A40)</t>
  </si>
  <si>
    <t xml:space="preserve">arxiv.org/abs/2411.19650</t>
  </si>
  <si>
    <t xml:space="preserve">Flow matching (linear path)</t>
  </si>
  <si>
    <t xml:space="preserve">Velocity u = A - eps</t>
  </si>
  <si>
    <t xml:space="preserve">E||v_theta(A^tau, o) - (A - eps)||^2, A^tau = tau*A + (1-tau)*eps (tau=0 noise)</t>
  </si>
  <si>
    <t xml:space="preserve">Beta((s - tau)/s; 1.5, 1), s=0.999 (emphasises noisy times)</t>
  </si>
  <si>
    <t xml:space="preserve">Forward Euler, 10 steps (delta = 0.1)</t>
  </si>
  <si>
    <t xml:space="preserve">~300M action expert on cached VLM prefix KV</t>
  </si>
  <si>
    <t xml:space="preserve">H=50; re-plan every 16 (20 Hz) or 25 (50 Hz) actions</t>
  </si>
  <si>
    <t xml:space="preserve">73 ms on RTX 4090 (10 flow steps: 27 ms)</t>
  </si>
  <si>
    <t xml:space="preserve">arxiv.org/abs/2410.24164</t>
  </si>
  <si>
    <t xml:space="preserve">SmolVLA (released code)</t>
  </si>
  <si>
    <t xml:space="preserve">Velocity u = eps - A</t>
  </si>
  <si>
    <t xml:space="preserve">E||v_theta(A^tau, tau | o) - (eps - A)||^2, A^tau = tau*eps + (1-tau)*A (tau=1 noise)</t>
  </si>
  <si>
    <t xml:space="preserve">Beta(1.5, 1) rescaled to [0.001, 1]</t>
  </si>
  <si>
    <t xml:space="preserve">Forward Euler from tau=1 to 0, 10 steps</t>
  </si>
  <si>
    <t xml:space="preserve">Action expert (97M in this checkpoint) on cached prefix KV</t>
  </si>
  <si>
    <t xml:space="preserve">n=50; this checkpoint executes 1 action per re-plan</t>
  </si>
  <si>
    <t xml:space="preserve">This study, Tesla T4: 789 ms per re-plan (bf16, 10 steps)</t>
  </si>
  <si>
    <t xml:space="preserve">arxiv.org/abs/2506.01844; LeRobot v0.6.1</t>
  </si>
  <si>
    <t xml:space="preserve">RTC (on pi0.5)</t>
  </si>
  <si>
    <t xml:space="preserve">Flow matching + guided inpainting</t>
  </si>
  <si>
    <t xml:space="preserve">Velocity (base policy)</t>
  </si>
  <si>
    <t xml:space="preserve">None (inference-time only)</t>
  </si>
  <si>
    <t xml:space="preserve">n/a</t>
  </si>
  <si>
    <t xml:space="preserve">5 denoising steps with vector-Jacobian guidance</t>
  </si>
  <si>
    <t xml:space="preserve">Expert + guidance backward pass</t>
  </si>
  <si>
    <t xml:space="preserve">H=50, execution horizon 25</t>
  </si>
  <si>
    <t xml:space="preserve">76 -&gt; 97 ms per chunk on RTX 4090 (guidance overhead)</t>
  </si>
  <si>
    <t xml:space="preserve">arxiv.org/abs/2506.07339</t>
  </si>
  <si>
    <t xml:space="preserve">Key differences</t>
  </si>
  <si>
    <t xml:space="preserve">1. Target: diffusion regresses the injected noise; flow matching regresses the velocity of a straight path between noise and data.</t>
  </si>
  <si>
    <t xml:space="preserve">2. Path: the DDPM forward process follows a variance-preserving schedule (curved trajectories under the probability-flow ODE); the linear flow path has constant velocity per sample, so coarse Euler steps stay close (this study: 3 steps deviate 0.32 vs a 1.37 sampling spread, LIBERO-Object).</t>
  </si>
  <si>
    <t xml:space="preserve">3. Sampling: DDPM needs many steps (DDIM ~10); flow models use ~10 Euler steps by default and degrade gracefully when fewer are used, down to a model-dependent limit (Coda: pi0.5 holds at 3 steps, drops at 1; SmolVLA drops at 1).</t>
  </si>
  <si>
    <t xml:space="preserve">4. Cost per step: in all four VLA-style models a step re-runs only a small head on a cached VLM output, so per-step cost is set by the head size and by kernel-launch overhead at batch 1.</t>
  </si>
  <si>
    <t xml:space="preserve">SmolVLA (HuggingFaceVLA/smolvla_libero) on LIBERO-Spatial, Tesla T4 - latency of one re-plan (median, CUDA events, results/t4/profile/graph_t4.json)</t>
  </si>
  <si>
    <t xml:space="preserve">Configuration</t>
  </si>
  <si>
    <t xml:space="preserve">Precision</t>
  </si>
  <si>
    <t xml:space="preserve">Flow steps</t>
  </si>
  <si>
    <t xml:space="preserve">CUDA graph</t>
  </si>
  <si>
    <t xml:space="preserve">Latency per re-plan (ms)</t>
  </si>
  <si>
    <t xml:space="preserve">Speed-up vs released</t>
  </si>
  <si>
    <t xml:space="preserve">Released</t>
  </si>
  <si>
    <t xml:space="preserve">bf16</t>
  </si>
  <si>
    <t xml:space="preserve">Fewer steps</t>
  </si>
  <si>
    <t xml:space="preserve">Released + graph</t>
  </si>
  <si>
    <t xml:space="preserve">fp16</t>
  </si>
  <si>
    <t xml:space="preserve">fp16 + graph</t>
  </si>
  <si>
    <t xml:space="preserve">fp16, 3 steps</t>
  </si>
  <si>
    <t xml:space="preserve">fp16, 3 steps + graph</t>
  </si>
  <si>
    <t xml:space="preserve">fp16, 2 steps + graph</t>
  </si>
  <si>
    <t xml:space="preserve">fp16, 1 step + graph</t>
  </si>
  <si>
    <t xml:space="preserve">Blue numbers are measured inputs (60 calls per configuration after warm-up, interleaved rounds); speed-ups are formulas against the released configuration.</t>
  </si>
  <si>
    <t xml:space="preserve">Configuration (paired, same episodes, common random numbers)</t>
  </si>
  <si>
    <t xml:space="preserve">n</t>
  </si>
  <si>
    <t xml:space="preserve">Success rate</t>
  </si>
  <si>
    <t xml:space="preserve">Delta vs released (pp)</t>
  </si>
  <si>
    <t xml:space="preserve">95% CI low (pp)</t>
  </si>
  <si>
    <t xml:space="preserve">95% CI high (pp)</t>
  </si>
  <si>
    <t xml:space="preserve">McNemar p</t>
  </si>
  <si>
    <t xml:space="preserve">Policy calls per 100 steps</t>
  </si>
  <si>
    <t xml:space="preserve">Released (bf16, 10 steps, re-plan every step)</t>
  </si>
  <si>
    <t xml:space="preserve">bf16, 3 steps</t>
  </si>
  <si>
    <t xml:space="preserve">Stale image (refresh every 5 steps), 3 steps</t>
  </si>
  <si>
    <t xml:space="preserve">Open loop, 5 actions per re-plan</t>
  </si>
  <si>
    <t xml:space="preserve">Open loop 5 + gripper-event re-plan</t>
  </si>
  <si>
    <t xml:space="preserve">Open loop, 10 actions per re-plan</t>
  </si>
  <si>
    <t xml:space="preserve">fp16, 2 steps</t>
  </si>
  <si>
    <t xml:space="preserve">fp16, 1 step</t>
  </si>
  <si>
    <t xml:space="preserve">fp16, 3 steps, one fixed noise per episode (probe)</t>
  </si>
  <si>
    <t xml:space="preserve">Source: results/t4/summary.json (Newcombe paired CI; exact McNemar, unadjusted). Non-inferiority margin: -5 pp. fp16 1 step pools the exploratory states 0-19 with the confirmation states 20-49; the pre-specified test on states 20-49 alone gives +6.0 pp [+0.6, +11.4], p = 0.04 (results/t4/report_numbers.json).</t>
  </si>
  <si>
    <t xml:space="preserve">How this matrix was built: every entry was read from the paper's own arXiv abstract, HTML or PDF (column 'Source'). 'UNVERIFIED' marks values not found in the text that was read; '(reviewer inference)' marks open questions that are the reviewer's reading, not the authors' statement.</t>
  </si>
  <si>
    <t xml:space="preserve">Inconsistencies found in the sources: Diffusion Policy states 10 DDIM inference steps (Sec. 3.4) and 16 (App. A.4); VLA-Cache's 1.7x headline is larger than its per-model tables (OpenVLA 1.63x).</t>
  </si>
  <si>
    <t xml:space="preserve">Scope: the matrix keeps the ten papers that are most cited and most directly tied to this study (column 'Relevance to this study'). Also read, and cited in the report where used, but left out to keep the matrix focused: OpenVLA, FAST, TinyVLA, DeeR-VLA, CogACT, A2C2, an efficient-VLA survey and vla.cpp. Of these, A2C2 matters most for H1: it trains its own SmolVLA from scratch on LIBERO, and its execution-horizon results (e=5: 0.83 &gt; e=1: 0.77) do not transfer to the checkpoint used here, where executing 5 actions per re-plan lowers SR by 12.5 pp.</t>
  </si>
  <si>
    <t xml:space="preserve">Islam (2026) uses the same checkpoint and LeRobot version on a Turing GPU (RTX 2060): its PyTorch+AMP Spatial success (70.0%, 100 episodes) is in the range of this study's baseline (77.0%, 200 episodes); its ONNX speed-up came with a behaviour change (truncated instructions), which motivates checking closed-loop equivalence for every efficiency change.</t>
  </si>
  <si>
    <t xml:space="preserve">Coda (2026) and Realtime-VLA (2025) already apply fewer flow steps and CUDA graphs, respectively; this study does not claim these levers as new.</t>
  </si>
  <si>
    <t xml:space="preserve">Venues for pi0 and OpenVLA-OFT are not stated on the arXiv pages read and are left as arXiv.</t>
  </si>
</sst>
</file>

<file path=xl/styles.xml><?xml version="1.0" encoding="utf-8"?>
<styleSheet xmlns="http://schemas.openxmlformats.org/spreadsheetml/2006/main">
  <numFmts count="7">
    <numFmt numFmtId="164" formatCode="General"/>
    <numFmt numFmtId="165" formatCode="0.0"/>
    <numFmt numFmtId="166" formatCode="0.00\x"/>
    <numFmt numFmtId="167" formatCode="0"/>
    <numFmt numFmtId="168" formatCode="0.0%"/>
    <numFmt numFmtId="169" formatCode="\+0.0;\-0.0;0.0"/>
    <numFmt numFmtId="170" formatCode="0.000"/>
  </numFmts>
  <fonts count="1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b val="true"/>
      <sz val="9"/>
      <name val="Arial"/>
      <family val="0"/>
      <charset val="1"/>
    </font>
    <font>
      <sz val="9"/>
      <name val="Arial"/>
      <family val="0"/>
      <charset val="1"/>
    </font>
    <font>
      <b val="true"/>
      <sz val="10"/>
      <name val="Arial"/>
      <family val="0"/>
      <charset val="1"/>
    </font>
    <font>
      <b val="true"/>
      <sz val="11"/>
      <name val="Arial"/>
      <family val="0"/>
      <charset val="1"/>
    </font>
    <font>
      <sz val="9"/>
      <color rgb="FF0000FF"/>
      <name val="Arial"/>
      <family val="0"/>
      <charset val="1"/>
    </font>
    <font>
      <i val="true"/>
      <sz val="9"/>
      <name val="Arial"/>
      <family val="0"/>
      <charset val="1"/>
    </font>
  </fonts>
  <fills count="4">
    <fill>
      <patternFill patternType="none"/>
    </fill>
    <fill>
      <patternFill patternType="gray125"/>
    </fill>
    <fill>
      <patternFill patternType="solid">
        <fgColor rgb="FF1F4E79"/>
        <bgColor rgb="FF003366"/>
      </patternFill>
    </fill>
    <fill>
      <patternFill patternType="solid">
        <fgColor rgb="FFF2F6FA"/>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6F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30"/>
    <col collapsed="false" customWidth="true" hidden="false" outlineLevel="0" max="3" min="3" style="0" width="16"/>
    <col collapsed="false" customWidth="true" hidden="false" outlineLevel="0" max="4" min="4" style="0" width="6"/>
    <col collapsed="false" customWidth="true" hidden="false" outlineLevel="0" max="5" min="5" style="0" width="22"/>
    <col collapsed="false" customWidth="true" hidden="false" outlineLevel="0" max="6" min="6" style="0" width="40"/>
    <col collapsed="false" customWidth="true" hidden="false" outlineLevel="0" max="8" min="7" style="0" width="34"/>
    <col collapsed="false" customWidth="true" hidden="false" outlineLevel="0" max="9" min="9" style="0" width="44"/>
    <col collapsed="false" customWidth="true" hidden="false" outlineLevel="0" max="10" min="10" style="0" width="22"/>
    <col collapsed="false" customWidth="true" hidden="false" outlineLevel="0" max="12" min="11" style="0" width="44"/>
    <col collapsed="false" customWidth="true" hidden="false" outlineLevel="0" max="14" min="13" style="0" width="36"/>
    <col collapsed="false" customWidth="true" hidden="false" outlineLevel="0" max="15" min="15" style="0" width="40"/>
    <col collapsed="false" customWidth="true" hidden="false" outlineLevel="0" max="16" min="16" style="0" width="9"/>
    <col collapsed="false" customWidth="true" hidden="false" outlineLevel="0" max="17" min="17" style="0" width="30"/>
  </cols>
  <sheetData>
    <row r="1" customFormat="false" ht="30" hidden="false" customHeight="tru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row>
    <row r="2" customFormat="false" ht="74.6" hidden="false" customHeight="false" outlineLevel="0" collapsed="false">
      <c r="A2" s="2" t="s">
        <v>17</v>
      </c>
      <c r="B2" s="3" t="s">
        <v>18</v>
      </c>
      <c r="C2" s="3" t="s">
        <v>19</v>
      </c>
      <c r="D2" s="3" t="n">
        <v>2025</v>
      </c>
      <c r="E2" s="3" t="s">
        <v>20</v>
      </c>
      <c r="F2" s="3" t="s">
        <v>21</v>
      </c>
      <c r="G2" s="3" t="s">
        <v>22</v>
      </c>
      <c r="H2" s="3" t="s">
        <v>23</v>
      </c>
      <c r="I2" s="3" t="s">
        <v>24</v>
      </c>
      <c r="J2" s="3" t="s">
        <v>25</v>
      </c>
      <c r="K2" s="3" t="s">
        <v>26</v>
      </c>
      <c r="L2" s="3" t="s">
        <v>27</v>
      </c>
      <c r="M2" s="3" t="s">
        <v>28</v>
      </c>
      <c r="N2" s="3" t="s">
        <v>29</v>
      </c>
      <c r="O2" s="3" t="s">
        <v>30</v>
      </c>
      <c r="P2" s="3" t="s">
        <v>31</v>
      </c>
      <c r="Q2" s="3" t="s">
        <v>32</v>
      </c>
    </row>
    <row r="3" customFormat="false" ht="64.15" hidden="false" customHeight="false" outlineLevel="0" collapsed="false">
      <c r="A3" s="4" t="s">
        <v>33</v>
      </c>
      <c r="B3" s="5" t="s">
        <v>34</v>
      </c>
      <c r="C3" s="5" t="s">
        <v>35</v>
      </c>
      <c r="D3" s="5" t="n">
        <v>2024</v>
      </c>
      <c r="E3" s="5" t="s">
        <v>36</v>
      </c>
      <c r="F3" s="5" t="s">
        <v>37</v>
      </c>
      <c r="G3" s="5" t="s">
        <v>38</v>
      </c>
      <c r="H3" s="5" t="s">
        <v>39</v>
      </c>
      <c r="I3" s="5" t="s">
        <v>40</v>
      </c>
      <c r="J3" s="5" t="s">
        <v>41</v>
      </c>
      <c r="K3" s="5" t="s">
        <v>42</v>
      </c>
      <c r="L3" s="5" t="s">
        <v>43</v>
      </c>
      <c r="M3" s="5" t="s">
        <v>44</v>
      </c>
      <c r="N3" s="5" t="s">
        <v>45</v>
      </c>
      <c r="O3" s="5" t="s">
        <v>46</v>
      </c>
      <c r="P3" s="5" t="s">
        <v>31</v>
      </c>
      <c r="Q3" s="5" t="s">
        <v>47</v>
      </c>
    </row>
    <row r="4" customFormat="false" ht="74.6" hidden="false" customHeight="false" outlineLevel="0" collapsed="false">
      <c r="A4" s="2" t="s">
        <v>48</v>
      </c>
      <c r="B4" s="3" t="s">
        <v>49</v>
      </c>
      <c r="C4" s="3" t="s">
        <v>50</v>
      </c>
      <c r="D4" s="3" t="n">
        <v>2023</v>
      </c>
      <c r="E4" s="3" t="s">
        <v>51</v>
      </c>
      <c r="F4" s="3" t="s">
        <v>52</v>
      </c>
      <c r="G4" s="3" t="s">
        <v>53</v>
      </c>
      <c r="H4" s="3" t="s">
        <v>54</v>
      </c>
      <c r="I4" s="3" t="s">
        <v>55</v>
      </c>
      <c r="J4" s="3" t="s">
        <v>56</v>
      </c>
      <c r="K4" s="3" t="s">
        <v>57</v>
      </c>
      <c r="L4" s="3" t="s">
        <v>58</v>
      </c>
      <c r="M4" s="3" t="s">
        <v>59</v>
      </c>
      <c r="N4" s="3" t="s">
        <v>60</v>
      </c>
      <c r="O4" s="3" t="s">
        <v>61</v>
      </c>
      <c r="P4" s="3" t="s">
        <v>31</v>
      </c>
      <c r="Q4" s="3" t="s">
        <v>62</v>
      </c>
    </row>
    <row r="5" customFormat="false" ht="74.6" hidden="false" customHeight="false" outlineLevel="0" collapsed="false">
      <c r="A5" s="4" t="s">
        <v>63</v>
      </c>
      <c r="B5" s="5" t="s">
        <v>64</v>
      </c>
      <c r="C5" s="5" t="s">
        <v>65</v>
      </c>
      <c r="D5" s="5" t="n">
        <v>2025</v>
      </c>
      <c r="E5" s="5" t="s">
        <v>66</v>
      </c>
      <c r="F5" s="5" t="s">
        <v>67</v>
      </c>
      <c r="G5" s="5" t="s">
        <v>68</v>
      </c>
      <c r="H5" s="5" t="s">
        <v>69</v>
      </c>
      <c r="I5" s="5" t="s">
        <v>70</v>
      </c>
      <c r="J5" s="5" t="s">
        <v>71</v>
      </c>
      <c r="K5" s="5" t="s">
        <v>72</v>
      </c>
      <c r="L5" s="5" t="s">
        <v>73</v>
      </c>
      <c r="M5" s="5" t="s">
        <v>74</v>
      </c>
      <c r="N5" s="5" t="s">
        <v>75</v>
      </c>
      <c r="O5" s="5" t="s">
        <v>76</v>
      </c>
      <c r="P5" s="5" t="s">
        <v>31</v>
      </c>
      <c r="Q5" s="5" t="s">
        <v>77</v>
      </c>
    </row>
    <row r="6" customFormat="false" ht="85.05" hidden="false" customHeight="false" outlineLevel="0" collapsed="false">
      <c r="A6" s="2" t="s">
        <v>78</v>
      </c>
      <c r="B6" s="3" t="s">
        <v>79</v>
      </c>
      <c r="C6" s="3" t="s">
        <v>80</v>
      </c>
      <c r="D6" s="3" t="n">
        <v>2025</v>
      </c>
      <c r="E6" s="3" t="s">
        <v>81</v>
      </c>
      <c r="F6" s="3" t="s">
        <v>82</v>
      </c>
      <c r="G6" s="3" t="s">
        <v>83</v>
      </c>
      <c r="H6" s="3" t="s">
        <v>84</v>
      </c>
      <c r="I6" s="3" t="s">
        <v>85</v>
      </c>
      <c r="J6" s="3" t="s">
        <v>86</v>
      </c>
      <c r="K6" s="3" t="s">
        <v>87</v>
      </c>
      <c r="L6" s="3" t="s">
        <v>88</v>
      </c>
      <c r="M6" s="3" t="s">
        <v>89</v>
      </c>
      <c r="N6" s="3" t="s">
        <v>90</v>
      </c>
      <c r="O6" s="3" t="s">
        <v>91</v>
      </c>
      <c r="P6" s="3" t="s">
        <v>92</v>
      </c>
      <c r="Q6" s="3" t="s">
        <v>93</v>
      </c>
    </row>
    <row r="7" customFormat="false" ht="74.6" hidden="false" customHeight="false" outlineLevel="0" collapsed="false">
      <c r="A7" s="4" t="s">
        <v>94</v>
      </c>
      <c r="B7" s="5" t="s">
        <v>95</v>
      </c>
      <c r="C7" s="5" t="s">
        <v>96</v>
      </c>
      <c r="D7" s="5" t="n">
        <v>2025</v>
      </c>
      <c r="E7" s="5" t="s">
        <v>97</v>
      </c>
      <c r="F7" s="5" t="s">
        <v>98</v>
      </c>
      <c r="G7" s="5" t="s">
        <v>99</v>
      </c>
      <c r="H7" s="5" t="s">
        <v>100</v>
      </c>
      <c r="I7" s="5" t="s">
        <v>101</v>
      </c>
      <c r="J7" s="5" t="s">
        <v>102</v>
      </c>
      <c r="K7" s="5" t="s">
        <v>103</v>
      </c>
      <c r="L7" s="5" t="s">
        <v>104</v>
      </c>
      <c r="M7" s="5" t="s">
        <v>105</v>
      </c>
      <c r="N7" s="5" t="s">
        <v>106</v>
      </c>
      <c r="O7" s="5" t="s">
        <v>107</v>
      </c>
      <c r="P7" s="5" t="s">
        <v>92</v>
      </c>
      <c r="Q7" s="5" t="s">
        <v>108</v>
      </c>
    </row>
    <row r="8" customFormat="false" ht="95.5" hidden="false" customHeight="false" outlineLevel="0" collapsed="false">
      <c r="A8" s="2" t="s">
        <v>109</v>
      </c>
      <c r="B8" s="3" t="s">
        <v>110</v>
      </c>
      <c r="C8" s="3" t="s">
        <v>35</v>
      </c>
      <c r="D8" s="3" t="n">
        <v>2025</v>
      </c>
      <c r="E8" s="3" t="s">
        <v>111</v>
      </c>
      <c r="F8" s="3" t="s">
        <v>112</v>
      </c>
      <c r="G8" s="3" t="s">
        <v>113</v>
      </c>
      <c r="H8" s="3" t="s">
        <v>114</v>
      </c>
      <c r="I8" s="3" t="s">
        <v>115</v>
      </c>
      <c r="J8" s="3" t="s">
        <v>116</v>
      </c>
      <c r="K8" s="3" t="s">
        <v>117</v>
      </c>
      <c r="L8" s="3" t="s">
        <v>118</v>
      </c>
      <c r="M8" s="3" t="s">
        <v>119</v>
      </c>
      <c r="N8" s="3" t="s">
        <v>120</v>
      </c>
      <c r="O8" s="3" t="s">
        <v>121</v>
      </c>
      <c r="P8" s="3" t="s">
        <v>92</v>
      </c>
      <c r="Q8" s="3" t="s">
        <v>122</v>
      </c>
    </row>
    <row r="9" customFormat="false" ht="64.15" hidden="false" customHeight="false" outlineLevel="0" collapsed="false">
      <c r="A9" s="4" t="s">
        <v>123</v>
      </c>
      <c r="B9" s="5" t="s">
        <v>124</v>
      </c>
      <c r="C9" s="5" t="s">
        <v>125</v>
      </c>
      <c r="D9" s="5" t="n">
        <v>2025</v>
      </c>
      <c r="E9" s="5" t="s">
        <v>126</v>
      </c>
      <c r="F9" s="5" t="s">
        <v>127</v>
      </c>
      <c r="G9" s="5" t="s">
        <v>128</v>
      </c>
      <c r="H9" s="5" t="s">
        <v>129</v>
      </c>
      <c r="I9" s="5" t="s">
        <v>130</v>
      </c>
      <c r="J9" s="5" t="s">
        <v>131</v>
      </c>
      <c r="K9" s="5" t="s">
        <v>132</v>
      </c>
      <c r="L9" s="5" t="s">
        <v>133</v>
      </c>
      <c r="M9" s="5" t="s">
        <v>134</v>
      </c>
      <c r="N9" s="5" t="s">
        <v>135</v>
      </c>
      <c r="O9" s="5" t="s">
        <v>136</v>
      </c>
      <c r="P9" s="5" t="s">
        <v>137</v>
      </c>
      <c r="Q9" s="5" t="s">
        <v>138</v>
      </c>
    </row>
    <row r="10" customFormat="false" ht="53.7" hidden="false" customHeight="false" outlineLevel="0" collapsed="false">
      <c r="A10" s="2" t="s">
        <v>139</v>
      </c>
      <c r="B10" s="3" t="s">
        <v>140</v>
      </c>
      <c r="C10" s="3" t="s">
        <v>141</v>
      </c>
      <c r="D10" s="3" t="n">
        <v>2026</v>
      </c>
      <c r="E10" s="3" t="s">
        <v>142</v>
      </c>
      <c r="F10" s="3" t="s">
        <v>143</v>
      </c>
      <c r="G10" s="3" t="s">
        <v>144</v>
      </c>
      <c r="H10" s="3" t="s">
        <v>145</v>
      </c>
      <c r="I10" s="3" t="s">
        <v>146</v>
      </c>
      <c r="J10" s="3" t="s">
        <v>147</v>
      </c>
      <c r="K10" s="3" t="s">
        <v>148</v>
      </c>
      <c r="L10" s="3" t="s">
        <v>149</v>
      </c>
      <c r="M10" s="3" t="s">
        <v>150</v>
      </c>
      <c r="N10" s="3" t="s">
        <v>151</v>
      </c>
      <c r="O10" s="3" t="s">
        <v>152</v>
      </c>
      <c r="P10" s="3" t="s">
        <v>153</v>
      </c>
      <c r="Q10" s="3" t="s">
        <v>154</v>
      </c>
    </row>
    <row r="11" customFormat="false" ht="43.25" hidden="false" customHeight="false" outlineLevel="0" collapsed="false">
      <c r="A11" s="4" t="s">
        <v>155</v>
      </c>
      <c r="B11" s="5" t="s">
        <v>156</v>
      </c>
      <c r="C11" s="5" t="s">
        <v>157</v>
      </c>
      <c r="D11" s="5" t="n">
        <v>2026</v>
      </c>
      <c r="E11" s="5" t="s">
        <v>158</v>
      </c>
      <c r="F11" s="5" t="s">
        <v>159</v>
      </c>
      <c r="G11" s="5" t="s">
        <v>160</v>
      </c>
      <c r="H11" s="5" t="s">
        <v>161</v>
      </c>
      <c r="I11" s="5" t="s">
        <v>162</v>
      </c>
      <c r="J11" s="5" t="s">
        <v>163</v>
      </c>
      <c r="K11" s="5" t="s">
        <v>164</v>
      </c>
      <c r="L11" s="5" t="s">
        <v>165</v>
      </c>
      <c r="M11" s="5" t="s">
        <v>166</v>
      </c>
      <c r="N11" s="5" t="s">
        <v>167</v>
      </c>
      <c r="O11" s="5" t="s">
        <v>168</v>
      </c>
      <c r="P11" s="5" t="s">
        <v>92</v>
      </c>
      <c r="Q11" s="5" t="s">
        <v>169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20"/>
    <col collapsed="false" customWidth="true" hidden="false" outlineLevel="0" max="3" min="3" style="0" width="16"/>
    <col collapsed="false" customWidth="true" hidden="false" outlineLevel="0" max="4" min="4" style="0" width="40"/>
    <col collapsed="false" customWidth="true" hidden="false" outlineLevel="0" max="5" min="5" style="0" width="30"/>
    <col collapsed="false" customWidth="true" hidden="false" outlineLevel="0" max="6" min="6" style="0" width="32"/>
    <col collapsed="false" customWidth="true" hidden="false" outlineLevel="0" max="7" min="7" style="0" width="34"/>
    <col collapsed="false" customWidth="true" hidden="false" outlineLevel="0" max="8" min="8" style="0" width="28"/>
    <col collapsed="false" customWidth="true" hidden="false" outlineLevel="0" max="9" min="9" style="0" width="30"/>
    <col collapsed="false" customWidth="true" hidden="false" outlineLevel="0" max="10" min="10" style="0" width="26"/>
  </cols>
  <sheetData>
    <row r="1" customFormat="false" ht="15" hidden="false" customHeight="false" outlineLevel="0" collapsed="false">
      <c r="A1" s="1" t="s">
        <v>170</v>
      </c>
      <c r="B1" s="1" t="s">
        <v>171</v>
      </c>
      <c r="C1" s="1" t="s">
        <v>172</v>
      </c>
      <c r="D1" s="1" t="s">
        <v>173</v>
      </c>
      <c r="E1" s="1" t="s">
        <v>174</v>
      </c>
      <c r="F1" s="1" t="s">
        <v>175</v>
      </c>
      <c r="G1" s="1" t="s">
        <v>176</v>
      </c>
      <c r="H1" s="1" t="s">
        <v>177</v>
      </c>
      <c r="I1" s="1" t="s">
        <v>178</v>
      </c>
      <c r="J1" s="1" t="s">
        <v>179</v>
      </c>
    </row>
    <row r="2" customFormat="false" ht="22.35" hidden="false" customHeight="false" outlineLevel="0" collapsed="false">
      <c r="A2" s="2" t="s">
        <v>180</v>
      </c>
      <c r="B2" s="3" t="s">
        <v>181</v>
      </c>
      <c r="C2" s="3" t="s">
        <v>182</v>
      </c>
      <c r="D2" s="3" t="s">
        <v>183</v>
      </c>
      <c r="E2" s="3" t="s">
        <v>184</v>
      </c>
      <c r="F2" s="3" t="s">
        <v>185</v>
      </c>
      <c r="G2" s="3" t="s">
        <v>186</v>
      </c>
      <c r="H2" s="3" t="s">
        <v>187</v>
      </c>
      <c r="I2" s="3" t="s">
        <v>188</v>
      </c>
      <c r="J2" s="3" t="s">
        <v>189</v>
      </c>
    </row>
    <row r="3" customFormat="false" ht="22.35" hidden="false" customHeight="false" outlineLevel="0" collapsed="false">
      <c r="A3" s="4" t="s">
        <v>190</v>
      </c>
      <c r="B3" s="5" t="s">
        <v>191</v>
      </c>
      <c r="C3" s="5" t="s">
        <v>182</v>
      </c>
      <c r="D3" s="5" t="s">
        <v>192</v>
      </c>
      <c r="E3" s="5" t="s">
        <v>193</v>
      </c>
      <c r="F3" s="5" t="s">
        <v>194</v>
      </c>
      <c r="G3" s="5" t="s">
        <v>195</v>
      </c>
      <c r="H3" s="5" t="s">
        <v>196</v>
      </c>
      <c r="I3" s="5" t="s">
        <v>197</v>
      </c>
      <c r="J3" s="5" t="s">
        <v>198</v>
      </c>
    </row>
    <row r="4" customFormat="false" ht="22.35" hidden="false" customHeight="false" outlineLevel="0" collapsed="false">
      <c r="A4" s="2" t="s">
        <v>33</v>
      </c>
      <c r="B4" s="3" t="s">
        <v>199</v>
      </c>
      <c r="C4" s="3" t="s">
        <v>200</v>
      </c>
      <c r="D4" s="3" t="s">
        <v>201</v>
      </c>
      <c r="E4" s="3" t="s">
        <v>202</v>
      </c>
      <c r="F4" s="3" t="s">
        <v>203</v>
      </c>
      <c r="G4" s="3" t="s">
        <v>204</v>
      </c>
      <c r="H4" s="3" t="s">
        <v>205</v>
      </c>
      <c r="I4" s="3" t="s">
        <v>206</v>
      </c>
      <c r="J4" s="3" t="s">
        <v>207</v>
      </c>
    </row>
    <row r="5" customFormat="false" ht="22.35" hidden="false" customHeight="false" outlineLevel="0" collapsed="false">
      <c r="A5" s="4" t="s">
        <v>208</v>
      </c>
      <c r="B5" s="5" t="s">
        <v>199</v>
      </c>
      <c r="C5" s="5" t="s">
        <v>209</v>
      </c>
      <c r="D5" s="5" t="s">
        <v>210</v>
      </c>
      <c r="E5" s="5" t="s">
        <v>211</v>
      </c>
      <c r="F5" s="5" t="s">
        <v>212</v>
      </c>
      <c r="G5" s="5" t="s">
        <v>213</v>
      </c>
      <c r="H5" s="5" t="s">
        <v>214</v>
      </c>
      <c r="I5" s="5" t="s">
        <v>215</v>
      </c>
      <c r="J5" s="5" t="s">
        <v>216</v>
      </c>
    </row>
    <row r="6" customFormat="false" ht="22.35" hidden="false" customHeight="false" outlineLevel="0" collapsed="false">
      <c r="A6" s="2" t="s">
        <v>217</v>
      </c>
      <c r="B6" s="3" t="s">
        <v>218</v>
      </c>
      <c r="C6" s="3" t="s">
        <v>219</v>
      </c>
      <c r="D6" s="3" t="s">
        <v>220</v>
      </c>
      <c r="E6" s="3" t="s">
        <v>221</v>
      </c>
      <c r="F6" s="3" t="s">
        <v>222</v>
      </c>
      <c r="G6" s="3" t="s">
        <v>223</v>
      </c>
      <c r="H6" s="3" t="s">
        <v>224</v>
      </c>
      <c r="I6" s="3" t="s">
        <v>225</v>
      </c>
      <c r="J6" s="3" t="s">
        <v>226</v>
      </c>
    </row>
    <row r="8" customFormat="false" ht="15" hidden="false" customHeight="false" outlineLevel="0" collapsed="false">
      <c r="A8" s="6" t="s">
        <v>227</v>
      </c>
    </row>
    <row r="9" customFormat="false" ht="30" hidden="false" customHeight="true" outlineLevel="0" collapsed="false">
      <c r="A9" s="7" t="s">
        <v>228</v>
      </c>
      <c r="B9" s="7"/>
      <c r="C9" s="7"/>
      <c r="D9" s="7"/>
      <c r="E9" s="7"/>
      <c r="F9" s="7"/>
      <c r="G9" s="7"/>
      <c r="H9" s="7"/>
      <c r="I9" s="7"/>
      <c r="J9" s="7"/>
    </row>
    <row r="10" customFormat="false" ht="30" hidden="false" customHeight="true" outlineLevel="0" collapsed="false">
      <c r="A10" s="7" t="s">
        <v>229</v>
      </c>
      <c r="B10" s="7"/>
      <c r="C10" s="7"/>
      <c r="D10" s="7"/>
      <c r="E10" s="7"/>
      <c r="F10" s="7"/>
      <c r="G10" s="7"/>
      <c r="H10" s="7"/>
      <c r="I10" s="7"/>
      <c r="J10" s="7"/>
    </row>
    <row r="11" customFormat="false" ht="30" hidden="false" customHeight="true" outlineLevel="0" collapsed="false">
      <c r="A11" s="7" t="s">
        <v>230</v>
      </c>
      <c r="B11" s="7"/>
      <c r="C11" s="7"/>
      <c r="D11" s="7"/>
      <c r="E11" s="7"/>
      <c r="F11" s="7"/>
      <c r="G11" s="7"/>
      <c r="H11" s="7"/>
      <c r="I11" s="7"/>
      <c r="J11" s="7"/>
    </row>
    <row r="12" customFormat="false" ht="30" hidden="false" customHeight="true" outlineLevel="0" collapsed="false">
      <c r="A12" s="7" t="s">
        <v>231</v>
      </c>
      <c r="B12" s="7"/>
      <c r="C12" s="7"/>
      <c r="D12" s="7"/>
      <c r="E12" s="7"/>
      <c r="F12" s="7"/>
      <c r="G12" s="7"/>
      <c r="H12" s="7"/>
      <c r="I12" s="7"/>
      <c r="J12" s="7"/>
    </row>
  </sheetData>
  <mergeCells count="4">
    <mergeCell ref="A9:J9"/>
    <mergeCell ref="A10:J10"/>
    <mergeCell ref="A11:J11"/>
    <mergeCell ref="A12:J1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8"/>
    <col collapsed="false" customWidth="true" hidden="false" outlineLevel="0" max="3" min="3" style="0" width="12"/>
    <col collapsed="false" customWidth="true" hidden="false" outlineLevel="0" max="6" min="4" style="0" width="14"/>
    <col collapsed="false" customWidth="true" hidden="false" outlineLevel="0" max="7" min="7" style="0" width="12"/>
    <col collapsed="false" customWidth="true" hidden="false" outlineLevel="0" max="8" min="8" style="0" width="16"/>
  </cols>
  <sheetData>
    <row r="1" customFormat="false" ht="15" hidden="false" customHeight="false" outlineLevel="0" collapsed="false">
      <c r="A1" s="8" t="s">
        <v>232</v>
      </c>
    </row>
    <row r="3" customFormat="false" ht="23.85" hidden="false" customHeight="false" outlineLevel="0" collapsed="false">
      <c r="A3" s="1" t="s">
        <v>233</v>
      </c>
      <c r="B3" s="1" t="s">
        <v>234</v>
      </c>
      <c r="C3" s="1" t="s">
        <v>235</v>
      </c>
      <c r="D3" s="1" t="s">
        <v>236</v>
      </c>
      <c r="E3" s="1" t="s">
        <v>237</v>
      </c>
      <c r="F3" s="1" t="s">
        <v>238</v>
      </c>
    </row>
    <row r="4" customFormat="false" ht="15" hidden="false" customHeight="false" outlineLevel="0" collapsed="false">
      <c r="A4" s="9" t="s">
        <v>239</v>
      </c>
      <c r="B4" s="10" t="s">
        <v>240</v>
      </c>
      <c r="C4" s="10" t="n">
        <v>10</v>
      </c>
      <c r="D4" s="10" t="s">
        <v>31</v>
      </c>
      <c r="E4" s="11" t="n">
        <v>789.2</v>
      </c>
      <c r="F4" s="12" t="n">
        <f aca="false">$E$4/E4</f>
        <v>1</v>
      </c>
    </row>
    <row r="5" customFormat="false" ht="15" hidden="false" customHeight="false" outlineLevel="0" collapsed="false">
      <c r="A5" s="9" t="s">
        <v>241</v>
      </c>
      <c r="B5" s="10" t="s">
        <v>240</v>
      </c>
      <c r="C5" s="10" t="n">
        <v>3</v>
      </c>
      <c r="D5" s="10" t="s">
        <v>31</v>
      </c>
      <c r="E5" s="11" t="n">
        <v>432.7</v>
      </c>
      <c r="F5" s="12" t="n">
        <f aca="false">$E$4/E5</f>
        <v>1.82389646406286</v>
      </c>
    </row>
    <row r="6" customFormat="false" ht="15" hidden="false" customHeight="false" outlineLevel="0" collapsed="false">
      <c r="A6" s="9" t="s">
        <v>242</v>
      </c>
      <c r="B6" s="10" t="s">
        <v>240</v>
      </c>
      <c r="C6" s="10" t="n">
        <v>10</v>
      </c>
      <c r="D6" s="10" t="s">
        <v>92</v>
      </c>
      <c r="E6" s="11" t="n">
        <v>572</v>
      </c>
      <c r="F6" s="12" t="n">
        <f aca="false">$E$4/E6</f>
        <v>1.37972027972028</v>
      </c>
    </row>
    <row r="7" customFormat="false" ht="15" hidden="false" customHeight="false" outlineLevel="0" collapsed="false">
      <c r="A7" s="9" t="s">
        <v>243</v>
      </c>
      <c r="B7" s="10" t="s">
        <v>243</v>
      </c>
      <c r="C7" s="10" t="n">
        <v>10</v>
      </c>
      <c r="D7" s="10" t="s">
        <v>31</v>
      </c>
      <c r="E7" s="11" t="n">
        <v>616.1</v>
      </c>
      <c r="F7" s="12" t="n">
        <f aca="false">$E$4/E7</f>
        <v>1.28096088297354</v>
      </c>
    </row>
    <row r="8" customFormat="false" ht="15" hidden="false" customHeight="false" outlineLevel="0" collapsed="false">
      <c r="A8" s="9" t="s">
        <v>244</v>
      </c>
      <c r="B8" s="10" t="s">
        <v>243</v>
      </c>
      <c r="C8" s="10" t="n">
        <v>10</v>
      </c>
      <c r="D8" s="10" t="s">
        <v>92</v>
      </c>
      <c r="E8" s="11" t="n">
        <v>178</v>
      </c>
      <c r="F8" s="12" t="n">
        <f aca="false">$E$4/E8</f>
        <v>4.43370786516854</v>
      </c>
    </row>
    <row r="9" customFormat="false" ht="15" hidden="false" customHeight="false" outlineLevel="0" collapsed="false">
      <c r="A9" s="9" t="s">
        <v>245</v>
      </c>
      <c r="B9" s="10" t="s">
        <v>243</v>
      </c>
      <c r="C9" s="10" t="n">
        <v>3</v>
      </c>
      <c r="D9" s="10" t="s">
        <v>31</v>
      </c>
      <c r="E9" s="11" t="n">
        <v>245.2</v>
      </c>
      <c r="F9" s="12" t="n">
        <f aca="false">$E$4/E9</f>
        <v>3.21859706362153</v>
      </c>
    </row>
    <row r="10" customFormat="false" ht="15" hidden="false" customHeight="false" outlineLevel="0" collapsed="false">
      <c r="A10" s="9" t="s">
        <v>246</v>
      </c>
      <c r="B10" s="10" t="s">
        <v>243</v>
      </c>
      <c r="C10" s="10" t="n">
        <v>3</v>
      </c>
      <c r="D10" s="10" t="s">
        <v>92</v>
      </c>
      <c r="E10" s="11" t="n">
        <v>111.9</v>
      </c>
      <c r="F10" s="12" t="n">
        <f aca="false">$E$4/E10</f>
        <v>7.05272564789991</v>
      </c>
    </row>
    <row r="11" customFormat="false" ht="15" hidden="false" customHeight="false" outlineLevel="0" collapsed="false">
      <c r="A11" s="9" t="s">
        <v>247</v>
      </c>
      <c r="B11" s="10" t="s">
        <v>243</v>
      </c>
      <c r="C11" s="10" t="n">
        <v>2</v>
      </c>
      <c r="D11" s="10" t="s">
        <v>92</v>
      </c>
      <c r="E11" s="11" t="n">
        <v>103.2</v>
      </c>
      <c r="F11" s="12" t="n">
        <f aca="false">$E$4/E11</f>
        <v>7.64728682170543</v>
      </c>
    </row>
    <row r="12" customFormat="false" ht="15" hidden="false" customHeight="false" outlineLevel="0" collapsed="false">
      <c r="A12" s="9" t="s">
        <v>248</v>
      </c>
      <c r="B12" s="10" t="s">
        <v>243</v>
      </c>
      <c r="C12" s="10" t="n">
        <v>1</v>
      </c>
      <c r="D12" s="10" t="s">
        <v>92</v>
      </c>
      <c r="E12" s="11" t="n">
        <v>93.3</v>
      </c>
      <c r="F12" s="12" t="n">
        <f aca="false">$E$4/E12</f>
        <v>8.45873526259378</v>
      </c>
    </row>
    <row r="14" customFormat="false" ht="15" hidden="false" customHeight="false" outlineLevel="0" collapsed="false">
      <c r="A14" s="13" t="s">
        <v>249</v>
      </c>
    </row>
    <row r="16" customFormat="false" ht="23.85" hidden="false" customHeight="false" outlineLevel="0" collapsed="false">
      <c r="A16" s="1" t="s">
        <v>250</v>
      </c>
      <c r="B16" s="1" t="s">
        <v>251</v>
      </c>
      <c r="C16" s="1" t="s">
        <v>252</v>
      </c>
      <c r="D16" s="1" t="s">
        <v>253</v>
      </c>
      <c r="E16" s="1" t="s">
        <v>254</v>
      </c>
      <c r="F16" s="1" t="s">
        <v>255</v>
      </c>
      <c r="G16" s="1" t="s">
        <v>256</v>
      </c>
      <c r="H16" s="1" t="s">
        <v>257</v>
      </c>
    </row>
    <row r="17" customFormat="false" ht="15" hidden="false" customHeight="false" outlineLevel="0" collapsed="false">
      <c r="A17" s="9" t="s">
        <v>258</v>
      </c>
      <c r="B17" s="14" t="n">
        <v>500</v>
      </c>
      <c r="C17" s="15" t="n">
        <v>0.754</v>
      </c>
      <c r="D17" s="16" t="n">
        <v>0</v>
      </c>
      <c r="E17" s="16"/>
      <c r="F17" s="16"/>
      <c r="G17" s="17"/>
      <c r="H17" s="18" t="n">
        <v>100</v>
      </c>
    </row>
    <row r="18" customFormat="false" ht="15" hidden="false" customHeight="false" outlineLevel="0" collapsed="false">
      <c r="A18" s="9" t="s">
        <v>259</v>
      </c>
      <c r="B18" s="14" t="n">
        <v>200</v>
      </c>
      <c r="C18" s="15" t="n">
        <v>0.79</v>
      </c>
      <c r="D18" s="16" t="n">
        <v>2</v>
      </c>
      <c r="E18" s="16" t="n">
        <v>-3.82675992832326</v>
      </c>
      <c r="F18" s="16" t="n">
        <v>7.83816136488135</v>
      </c>
      <c r="G18" s="17" t="n">
        <v>0.60759136127308</v>
      </c>
      <c r="H18" s="18" t="n">
        <v>100</v>
      </c>
    </row>
    <row r="19" customFormat="false" ht="15" hidden="false" customHeight="false" outlineLevel="0" collapsed="false">
      <c r="A19" s="9" t="s">
        <v>245</v>
      </c>
      <c r="B19" s="14" t="n">
        <v>500</v>
      </c>
      <c r="C19" s="15" t="n">
        <v>0.784</v>
      </c>
      <c r="D19" s="16" t="n">
        <v>3</v>
      </c>
      <c r="E19" s="16" t="n">
        <v>-0.631992837712167</v>
      </c>
      <c r="F19" s="16" t="n">
        <v>6.63807721057419</v>
      </c>
      <c r="G19" s="17" t="n">
        <v>0.128396402926401</v>
      </c>
      <c r="H19" s="18" t="n">
        <v>100</v>
      </c>
    </row>
    <row r="20" customFormat="false" ht="15" hidden="false" customHeight="false" outlineLevel="0" collapsed="false">
      <c r="A20" s="9" t="s">
        <v>260</v>
      </c>
      <c r="B20" s="14" t="n">
        <v>200</v>
      </c>
      <c r="C20" s="15" t="n">
        <v>0.65</v>
      </c>
      <c r="D20" s="16" t="n">
        <v>-12</v>
      </c>
      <c r="E20" s="16" t="n">
        <v>-19.1121708723983</v>
      </c>
      <c r="F20" s="16" t="n">
        <v>-4.7396645919743</v>
      </c>
      <c r="G20" s="17" t="n">
        <v>0.00184155478849254</v>
      </c>
      <c r="H20" s="18" t="n">
        <v>100</v>
      </c>
    </row>
    <row r="21" customFormat="false" ht="15" hidden="false" customHeight="false" outlineLevel="0" collapsed="false">
      <c r="A21" s="9" t="s">
        <v>261</v>
      </c>
      <c r="B21" s="14" t="n">
        <v>200</v>
      </c>
      <c r="C21" s="15" t="n">
        <v>0.645</v>
      </c>
      <c r="D21" s="16" t="n">
        <v>-12.5</v>
      </c>
      <c r="E21" s="16" t="n">
        <v>-20.2579444201042</v>
      </c>
      <c r="F21" s="16" t="n">
        <v>-4.53918860259062</v>
      </c>
      <c r="G21" s="17" t="n">
        <v>0.00306531766960874</v>
      </c>
      <c r="H21" s="18" t="n">
        <v>20.1451960754534</v>
      </c>
    </row>
    <row r="22" customFormat="false" ht="15" hidden="false" customHeight="false" outlineLevel="0" collapsed="false">
      <c r="A22" s="9" t="s">
        <v>262</v>
      </c>
      <c r="B22" s="14" t="n">
        <v>200</v>
      </c>
      <c r="C22" s="15" t="n">
        <v>0.65</v>
      </c>
      <c r="D22" s="16" t="n">
        <v>-12</v>
      </c>
      <c r="E22" s="16" t="n">
        <v>-18.7213903156737</v>
      </c>
      <c r="F22" s="16" t="n">
        <v>-5.15896130609279</v>
      </c>
      <c r="G22" s="17" t="n">
        <v>0.000936222910851825</v>
      </c>
      <c r="H22" s="18" t="n">
        <v>21.4708394338702</v>
      </c>
    </row>
    <row r="23" customFormat="false" ht="15" hidden="false" customHeight="false" outlineLevel="0" collapsed="false">
      <c r="A23" s="9" t="s">
        <v>263</v>
      </c>
      <c r="B23" s="14" t="n">
        <v>200</v>
      </c>
      <c r="C23" s="15" t="n">
        <v>0.675</v>
      </c>
      <c r="D23" s="16" t="n">
        <v>-9.5</v>
      </c>
      <c r="E23" s="16" t="n">
        <v>-17.2512236724465</v>
      </c>
      <c r="F23" s="16" t="n">
        <v>-1.60394995079444</v>
      </c>
      <c r="G23" s="17" t="n">
        <v>0.0248119745715522</v>
      </c>
      <c r="H23" s="18" t="n">
        <v>10.1963346712717</v>
      </c>
    </row>
    <row r="24" customFormat="false" ht="15" hidden="false" customHeight="false" outlineLevel="0" collapsed="false">
      <c r="A24" s="9" t="s">
        <v>264</v>
      </c>
      <c r="B24" s="14" t="n">
        <v>200</v>
      </c>
      <c r="C24" s="15" t="n">
        <v>0.775</v>
      </c>
      <c r="D24" s="16" t="n">
        <v>0.5</v>
      </c>
      <c r="E24" s="16" t="n">
        <v>-5.72404100060382</v>
      </c>
      <c r="F24" s="16" t="n">
        <v>6.72438487868041</v>
      </c>
      <c r="G24" s="17" t="n">
        <v>1</v>
      </c>
      <c r="H24" s="18" t="n">
        <v>100</v>
      </c>
    </row>
    <row r="25" customFormat="false" ht="15" hidden="false" customHeight="false" outlineLevel="0" collapsed="false">
      <c r="A25" s="9" t="s">
        <v>265</v>
      </c>
      <c r="B25" s="14" t="n">
        <v>500</v>
      </c>
      <c r="C25" s="15" t="n">
        <v>0.8</v>
      </c>
      <c r="D25" s="16" t="n">
        <v>4.6</v>
      </c>
      <c r="E25" s="16" t="n">
        <v>0.426718068789581</v>
      </c>
      <c r="F25" s="16" t="n">
        <v>8.7695987253317</v>
      </c>
      <c r="G25" s="17" t="n">
        <v>0.0380186455827965</v>
      </c>
      <c r="H25" s="18" t="n">
        <v>100</v>
      </c>
    </row>
    <row r="26" customFormat="false" ht="15" hidden="false" customHeight="false" outlineLevel="0" collapsed="false">
      <c r="A26" s="9" t="s">
        <v>266</v>
      </c>
      <c r="B26" s="14" t="n">
        <v>200</v>
      </c>
      <c r="C26" s="15" t="n">
        <v>0.235</v>
      </c>
      <c r="D26" s="16" t="n">
        <v>-53.5</v>
      </c>
      <c r="E26" s="16" t="n">
        <v>-60.3219004894075</v>
      </c>
      <c r="F26" s="16" t="n">
        <v>-45.3845150827603</v>
      </c>
      <c r="G26" s="17" t="n">
        <v>3.450744533327E-028</v>
      </c>
      <c r="H26" s="18" t="n">
        <v>100</v>
      </c>
    </row>
    <row r="28" customFormat="false" ht="15" hidden="false" customHeight="false" outlineLevel="0" collapsed="false">
      <c r="A28" s="13"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0"/>
  </cols>
  <sheetData>
    <row r="1" customFormat="false" ht="42" hidden="false" customHeight="true" outlineLevel="0" collapsed="false">
      <c r="A1" s="19" t="s">
        <v>268</v>
      </c>
    </row>
    <row r="2" customFormat="false" ht="42" hidden="false" customHeight="true" outlineLevel="0" collapsed="false">
      <c r="A2" s="19" t="s">
        <v>269</v>
      </c>
    </row>
    <row r="3" customFormat="false" ht="42" hidden="false" customHeight="true" outlineLevel="0" collapsed="false">
      <c r="A3" s="19" t="s">
        <v>270</v>
      </c>
    </row>
    <row r="4" customFormat="false" ht="42" hidden="false" customHeight="true" outlineLevel="0" collapsed="false">
      <c r="A4" s="19" t="s">
        <v>271</v>
      </c>
    </row>
    <row r="5" customFormat="false" ht="42" hidden="false" customHeight="true" outlineLevel="0" collapsed="false">
      <c r="A5" s="19" t="s">
        <v>272</v>
      </c>
    </row>
    <row r="6" customFormat="false" ht="42" hidden="false" customHeight="true" outlineLevel="0" collapsed="false">
      <c r="A6" s="19" t="s">
        <v>273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2026-10-31T09:47:25Z</dcterms:created>
  <dc:creator>openpyxl</dc:creator>
  <dc:description/>
  <dc:language>en-US</dc:language>
  <cp:lastModifiedBy/>
  <dcterms:modified xsi:type="dcterms:W3CDTF">2026-10-31T09:47:25Z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